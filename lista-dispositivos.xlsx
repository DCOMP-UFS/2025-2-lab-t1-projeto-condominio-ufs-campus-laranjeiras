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DeItens" sheetId="1" r:id="rId4"/>
    <sheet state="visible" name="RelacaoItemAtaPreco" sheetId="2" r:id="rId5"/>
  </sheets>
  <definedNames>
    <definedName hidden="1" localSheetId="0" name="_xlnm._FilterDatabase">TotalDeItens!$A$1:$G$23</definedName>
  </definedNames>
  <calcPr/>
</workbook>
</file>

<file path=xl/sharedStrings.xml><?xml version="1.0" encoding="utf-8"?>
<sst xmlns="http://schemas.openxmlformats.org/spreadsheetml/2006/main" count="76" uniqueCount="74">
  <si>
    <t>Equipamento</t>
  </si>
  <si>
    <t>Álex Melo</t>
  </si>
  <si>
    <t>Davi</t>
  </si>
  <si>
    <t>João Vitor Pereira</t>
  </si>
  <si>
    <t>Lucas Calumbi</t>
  </si>
  <si>
    <t>Samuel</t>
  </si>
  <si>
    <t>Total</t>
  </si>
  <si>
    <t>Access Point</t>
  </si>
  <si>
    <t>Ar-condicionado</t>
  </si>
  <si>
    <t>Armário</t>
  </si>
  <si>
    <t>Cabo cat6 (metros)</t>
  </si>
  <si>
    <t>Cadeira</t>
  </si>
  <si>
    <t>Computador</t>
  </si>
  <si>
    <t>Firewall</t>
  </si>
  <si>
    <t>Gateway</t>
  </si>
  <si>
    <t>Impressora</t>
  </si>
  <si>
    <t>Mesa</t>
  </si>
  <si>
    <t>Microscópio</t>
  </si>
  <si>
    <t>Monitor</t>
  </si>
  <si>
    <t>Nobreaks</t>
  </si>
  <si>
    <t>Notebook</t>
  </si>
  <si>
    <t>Projetor</t>
  </si>
  <si>
    <t>Rack</t>
  </si>
  <si>
    <t>Roteador</t>
  </si>
  <si>
    <t>Servidor</t>
  </si>
  <si>
    <t>Switch</t>
  </si>
  <si>
    <t>Teclado + Mouse</t>
  </si>
  <si>
    <t>Mousepad</t>
  </si>
  <si>
    <t>Workstation</t>
  </si>
  <si>
    <t>ID da Ata</t>
  </si>
  <si>
    <t>Quantidade</t>
  </si>
  <si>
    <t>Preço</t>
  </si>
  <si>
    <t>NOBREAK 1200Va</t>
  </si>
  <si>
    <t>00348003000110-1-000499/2025-000001</t>
  </si>
  <si>
    <t>CAT 6 305m</t>
  </si>
  <si>
    <t>10830301000104-1-000024/2025-000002</t>
  </si>
  <si>
    <t>MESAS</t>
  </si>
  <si>
    <t>02030715000112-1-000211/2025-000001</t>
  </si>
  <si>
    <t>RACK</t>
  </si>
  <si>
    <t>10830301000104-1-000024/2025-000007</t>
  </si>
  <si>
    <t>GATEWAY</t>
  </si>
  <si>
    <t>09341233000122-1-000125/2025-000001</t>
  </si>
  <si>
    <t>FIBRA ÓPTICA</t>
  </si>
  <si>
    <t>00394452000103-1-018542/2025-000006</t>
  </si>
  <si>
    <t>WORKSTATION</t>
  </si>
  <si>
    <t>63025530000104-1-004720/2025-000001</t>
  </si>
  <si>
    <t>IMPRESSORA</t>
  </si>
  <si>
    <t>00394452000103-1-022160/2024-000002</t>
  </si>
  <si>
    <t>MONITOR</t>
  </si>
  <si>
    <t xml:space="preserve"> 00394452000103-1-022160/2024-000012</t>
  </si>
  <si>
    <t>SWITCHES</t>
  </si>
  <si>
    <t>18657063000180-1-000030/2024</t>
  </si>
  <si>
    <t>AR-CONDICIONADO</t>
  </si>
  <si>
    <t>34023077000107-1-000101/2025-000004</t>
  </si>
  <si>
    <t>TECLADO+MOUSE</t>
  </si>
  <si>
    <t>00509018000113-1-004246/2024-000003</t>
  </si>
  <si>
    <t>CADEIRAS</t>
  </si>
  <si>
    <t xml:space="preserve"> 79831566000115-1-000028/2024-000001</t>
  </si>
  <si>
    <t>PROJETOR</t>
  </si>
  <si>
    <t>07272636000131-1-000197/2025-000001</t>
  </si>
  <si>
    <t>MOUSEPAD</t>
  </si>
  <si>
    <t>92406180000124-1-000138/2025</t>
  </si>
  <si>
    <t>MICROSCÓPIO</t>
  </si>
  <si>
    <t>00394544000185-1-002007/2025-000001</t>
  </si>
  <si>
    <t>ROTEADOR</t>
  </si>
  <si>
    <t xml:space="preserve"> 29172467000109-1-000344/2025-000003</t>
  </si>
  <si>
    <t>FIREWALL</t>
  </si>
  <si>
    <t>00508903000188-1-003125/2024-000001</t>
  </si>
  <si>
    <t>ARMÁRIO</t>
  </si>
  <si>
    <t>00509968000148-1-002508/2025-000001</t>
  </si>
  <si>
    <t>PC</t>
  </si>
  <si>
    <t>45345899000112-1-000193/2025-000001</t>
  </si>
  <si>
    <t>NOTEBOOK</t>
  </si>
  <si>
    <t>46137410000180-1-000843/2025-000001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</si>
</sst>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lacaoItemAtaPreco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2" displayName="Tabela_1" name="Tabela_1" id="1">
  <tableColumns count="5">
    <tableColumn name="Equipamento" id="1"/>
    <tableColumn name="ID da Ata" id="2"/>
    <tableColumn name="Quantidade" id="3"/>
    <tableColumn name="Preço" id="4"/>
    <tableColumn name="Total" id="5"/>
  </tableColumns>
  <tableStyleInfo name="RelacaoItemAtaPre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>
        <v>2.0</v>
      </c>
      <c r="C2" s="5">
        <v>2.0</v>
      </c>
      <c r="D2" s="5">
        <v>3.0</v>
      </c>
      <c r="E2" s="5">
        <v>2.0</v>
      </c>
      <c r="F2" s="5">
        <v>5.0</v>
      </c>
      <c r="G2" s="6">
        <f t="shared" ref="G2:G23" si="1">SUM(B2:F2)</f>
        <v>14</v>
      </c>
    </row>
    <row r="3">
      <c r="A3" s="4" t="s">
        <v>8</v>
      </c>
      <c r="B3" s="5">
        <v>1.0</v>
      </c>
      <c r="C3" s="5">
        <v>1.0</v>
      </c>
      <c r="D3" s="5">
        <v>1.0</v>
      </c>
      <c r="E3" s="5">
        <v>1.0</v>
      </c>
      <c r="F3" s="5">
        <v>1.0</v>
      </c>
      <c r="G3" s="6">
        <f t="shared" si="1"/>
        <v>5</v>
      </c>
    </row>
    <row r="4">
      <c r="A4" s="4" t="s">
        <v>9</v>
      </c>
      <c r="B4" s="5">
        <v>0.0</v>
      </c>
      <c r="C4" s="5">
        <v>4.0</v>
      </c>
      <c r="D4" s="5">
        <v>2.0</v>
      </c>
      <c r="E4" s="5">
        <v>2.0</v>
      </c>
      <c r="F4" s="5">
        <v>1.0</v>
      </c>
      <c r="G4" s="6">
        <f t="shared" si="1"/>
        <v>9</v>
      </c>
    </row>
    <row r="5">
      <c r="A5" s="4" t="s">
        <v>10</v>
      </c>
      <c r="B5" s="5">
        <v>170.0</v>
      </c>
      <c r="C5" s="5">
        <v>123.0</v>
      </c>
      <c r="D5" s="5">
        <v>300.0</v>
      </c>
      <c r="E5" s="5">
        <v>200.0</v>
      </c>
      <c r="F5" s="5">
        <v>200.0</v>
      </c>
      <c r="G5" s="6">
        <f t="shared" si="1"/>
        <v>993</v>
      </c>
    </row>
    <row r="6">
      <c r="A6" s="4" t="s">
        <v>11</v>
      </c>
      <c r="B6" s="5">
        <v>6.0</v>
      </c>
      <c r="C6" s="5">
        <v>13.0</v>
      </c>
      <c r="D6" s="5">
        <v>10.0</v>
      </c>
      <c r="E6" s="5">
        <v>11.0</v>
      </c>
      <c r="F6" s="5">
        <v>11.0</v>
      </c>
      <c r="G6" s="6">
        <f t="shared" si="1"/>
        <v>51</v>
      </c>
    </row>
    <row r="7">
      <c r="A7" s="4" t="s">
        <v>12</v>
      </c>
      <c r="B7" s="5">
        <v>6.0</v>
      </c>
      <c r="C7" s="5">
        <v>12.0</v>
      </c>
      <c r="D7" s="5">
        <v>8.0</v>
      </c>
      <c r="E7" s="5">
        <v>8.0</v>
      </c>
      <c r="F7" s="5">
        <v>8.0</v>
      </c>
      <c r="G7" s="6">
        <f t="shared" si="1"/>
        <v>42</v>
      </c>
    </row>
    <row r="8">
      <c r="A8" s="4" t="s">
        <v>13</v>
      </c>
      <c r="B8" s="5">
        <v>0.0</v>
      </c>
      <c r="C8" s="5">
        <v>1.0</v>
      </c>
      <c r="D8" s="5">
        <v>0.0</v>
      </c>
      <c r="E8" s="5">
        <v>1.0</v>
      </c>
      <c r="F8" s="5">
        <v>1.0</v>
      </c>
      <c r="G8" s="6">
        <f t="shared" si="1"/>
        <v>3</v>
      </c>
    </row>
    <row r="9">
      <c r="A9" s="4" t="s">
        <v>14</v>
      </c>
      <c r="B9" s="5">
        <v>0.0</v>
      </c>
      <c r="C9" s="5">
        <v>0.0</v>
      </c>
      <c r="D9" s="5">
        <v>1.0</v>
      </c>
      <c r="E9" s="5">
        <v>0.0</v>
      </c>
      <c r="F9" s="5">
        <v>1.0</v>
      </c>
      <c r="G9" s="6">
        <f t="shared" si="1"/>
        <v>2</v>
      </c>
    </row>
    <row r="10">
      <c r="A10" s="4" t="s">
        <v>15</v>
      </c>
      <c r="B10" s="5">
        <v>0.0</v>
      </c>
      <c r="C10" s="5">
        <v>1.0</v>
      </c>
      <c r="D10" s="5">
        <v>1.0</v>
      </c>
      <c r="E10" s="5">
        <v>1.0</v>
      </c>
      <c r="F10" s="5">
        <v>0.0</v>
      </c>
      <c r="G10" s="6">
        <f t="shared" si="1"/>
        <v>3</v>
      </c>
    </row>
    <row r="11">
      <c r="A11" s="4" t="s">
        <v>16</v>
      </c>
      <c r="B11" s="5">
        <v>6.0</v>
      </c>
      <c r="C11" s="5">
        <v>13.0</v>
      </c>
      <c r="D11" s="5">
        <v>10.0</v>
      </c>
      <c r="E11" s="5">
        <v>11.0</v>
      </c>
      <c r="F11" s="5">
        <v>11.0</v>
      </c>
      <c r="G11" s="6">
        <f t="shared" si="1"/>
        <v>51</v>
      </c>
    </row>
    <row r="12">
      <c r="A12" s="4" t="s">
        <v>17</v>
      </c>
      <c r="B12" s="5">
        <v>0.0</v>
      </c>
      <c r="C12" s="5">
        <v>0.0</v>
      </c>
      <c r="D12" s="5">
        <v>1.0</v>
      </c>
      <c r="E12" s="5">
        <v>0.0</v>
      </c>
      <c r="F12" s="5">
        <v>0.0</v>
      </c>
      <c r="G12" s="6">
        <f t="shared" si="1"/>
        <v>1</v>
      </c>
    </row>
    <row r="13">
      <c r="A13" s="4" t="s">
        <v>18</v>
      </c>
      <c r="B13" s="5">
        <v>6.0</v>
      </c>
      <c r="C13" s="5">
        <v>12.0</v>
      </c>
      <c r="D13" s="5">
        <v>10.0</v>
      </c>
      <c r="E13" s="5">
        <v>10.0</v>
      </c>
      <c r="F13" s="5">
        <v>10.0</v>
      </c>
      <c r="G13" s="6">
        <f t="shared" si="1"/>
        <v>48</v>
      </c>
    </row>
    <row r="14">
      <c r="A14" s="4" t="s">
        <v>19</v>
      </c>
      <c r="B14" s="5">
        <v>1.0</v>
      </c>
      <c r="C14" s="5">
        <v>1.0</v>
      </c>
      <c r="D14" s="5">
        <v>1.0</v>
      </c>
      <c r="E14" s="5">
        <v>6.0</v>
      </c>
      <c r="F14" s="5">
        <v>1.0</v>
      </c>
      <c r="G14" s="6">
        <f t="shared" si="1"/>
        <v>10</v>
      </c>
    </row>
    <row r="15">
      <c r="A15" s="4" t="s">
        <v>20</v>
      </c>
      <c r="B15" s="5">
        <v>0.0</v>
      </c>
      <c r="C15" s="5">
        <v>0.0</v>
      </c>
      <c r="D15" s="5">
        <v>1.0</v>
      </c>
      <c r="E15" s="5">
        <v>2.0</v>
      </c>
      <c r="F15" s="5">
        <v>2.0</v>
      </c>
      <c r="G15" s="6">
        <f t="shared" si="1"/>
        <v>5</v>
      </c>
    </row>
    <row r="16">
      <c r="A16" s="4" t="s">
        <v>21</v>
      </c>
      <c r="B16" s="5">
        <v>0.0</v>
      </c>
      <c r="C16" s="5">
        <v>1.0</v>
      </c>
      <c r="D16" s="5">
        <v>0.0</v>
      </c>
      <c r="E16" s="5">
        <v>1.0</v>
      </c>
      <c r="F16" s="5">
        <v>0.0</v>
      </c>
      <c r="G16" s="6">
        <f t="shared" si="1"/>
        <v>2</v>
      </c>
    </row>
    <row r="17">
      <c r="A17" s="4" t="s">
        <v>22</v>
      </c>
      <c r="B17" s="5">
        <v>1.0</v>
      </c>
      <c r="C17" s="5">
        <v>1.0</v>
      </c>
      <c r="D17" s="5">
        <v>1.0</v>
      </c>
      <c r="E17" s="5">
        <v>1.0</v>
      </c>
      <c r="F17" s="5">
        <v>1.0</v>
      </c>
      <c r="G17" s="6">
        <f t="shared" si="1"/>
        <v>5</v>
      </c>
    </row>
    <row r="18">
      <c r="A18" s="4" t="s">
        <v>23</v>
      </c>
      <c r="B18" s="5">
        <v>2.0</v>
      </c>
      <c r="C18" s="5">
        <v>1.0</v>
      </c>
      <c r="D18" s="5">
        <v>1.0</v>
      </c>
      <c r="E18" s="5">
        <v>1.0</v>
      </c>
      <c r="F18" s="5">
        <v>1.0</v>
      </c>
      <c r="G18" s="6">
        <f t="shared" si="1"/>
        <v>6</v>
      </c>
    </row>
    <row r="19">
      <c r="A19" s="4" t="s">
        <v>24</v>
      </c>
      <c r="B19" s="5">
        <v>1.0</v>
      </c>
      <c r="C19" s="5">
        <v>1.0</v>
      </c>
      <c r="D19" s="5">
        <v>1.0</v>
      </c>
      <c r="E19" s="5">
        <v>3.0</v>
      </c>
      <c r="F19" s="5">
        <v>1.0</v>
      </c>
      <c r="G19" s="6">
        <f t="shared" si="1"/>
        <v>7</v>
      </c>
    </row>
    <row r="20">
      <c r="A20" s="4" t="s">
        <v>25</v>
      </c>
      <c r="B20" s="5">
        <v>3.0</v>
      </c>
      <c r="C20" s="5">
        <v>1.0</v>
      </c>
      <c r="D20" s="5">
        <v>1.0</v>
      </c>
      <c r="E20" s="5">
        <v>1.0</v>
      </c>
      <c r="F20" s="5">
        <v>1.0</v>
      </c>
      <c r="G20" s="6">
        <f t="shared" si="1"/>
        <v>7</v>
      </c>
    </row>
    <row r="21">
      <c r="A21" s="4" t="s">
        <v>26</v>
      </c>
      <c r="B21" s="5">
        <v>6.0</v>
      </c>
      <c r="C21" s="5">
        <v>12.0</v>
      </c>
      <c r="D21" s="5">
        <v>10.0</v>
      </c>
      <c r="E21" s="5">
        <v>12.0</v>
      </c>
      <c r="F21" s="5">
        <v>11.0</v>
      </c>
      <c r="G21" s="6">
        <f t="shared" si="1"/>
        <v>51</v>
      </c>
    </row>
    <row r="22">
      <c r="A22" s="4" t="s">
        <v>27</v>
      </c>
      <c r="B22" s="5">
        <v>6.0</v>
      </c>
      <c r="C22" s="5">
        <v>12.0</v>
      </c>
      <c r="D22" s="5">
        <v>10.0</v>
      </c>
      <c r="E22" s="5">
        <v>12.0</v>
      </c>
      <c r="F22" s="5">
        <v>11.0</v>
      </c>
      <c r="G22" s="6">
        <f t="shared" si="1"/>
        <v>51</v>
      </c>
    </row>
    <row r="23">
      <c r="A23" s="4" t="s">
        <v>28</v>
      </c>
      <c r="B23" s="5">
        <v>0.0</v>
      </c>
      <c r="C23" s="5">
        <v>0.0</v>
      </c>
      <c r="D23" s="5">
        <v>2.0</v>
      </c>
      <c r="E23" s="5">
        <v>2.0</v>
      </c>
      <c r="F23" s="5">
        <v>2.0</v>
      </c>
      <c r="G23" s="6">
        <f t="shared" si="1"/>
        <v>6</v>
      </c>
    </row>
  </sheetData>
  <autoFilter ref="$A$1:$G$23">
    <sortState ref="A1:G23">
      <sortCondition ref="A1:A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9.25"/>
    <col customWidth="1" min="3" max="4" width="22.63"/>
  </cols>
  <sheetData>
    <row r="1" ht="22.5" customHeight="1">
      <c r="A1" s="7" t="s">
        <v>0</v>
      </c>
      <c r="B1" s="7" t="s">
        <v>29</v>
      </c>
      <c r="C1" s="7" t="s">
        <v>30</v>
      </c>
      <c r="D1" s="7" t="s">
        <v>31</v>
      </c>
      <c r="E1" s="8" t="s">
        <v>6</v>
      </c>
    </row>
    <row r="2" ht="22.5" customHeight="1">
      <c r="A2" s="9" t="s">
        <v>32</v>
      </c>
      <c r="B2" s="9" t="s">
        <v>33</v>
      </c>
      <c r="C2" s="9">
        <v>6.0</v>
      </c>
      <c r="D2" s="10">
        <v>750.0</v>
      </c>
      <c r="E2" s="11">
        <f t="shared" ref="E2:E22" si="1">C2*D2</f>
        <v>4500</v>
      </c>
    </row>
    <row r="3" ht="22.5" customHeight="1">
      <c r="A3" s="9" t="s">
        <v>34</v>
      </c>
      <c r="B3" s="9" t="s">
        <v>35</v>
      </c>
      <c r="C3" s="9">
        <v>4.0</v>
      </c>
      <c r="D3" s="10">
        <v>525.0</v>
      </c>
      <c r="E3" s="11">
        <f t="shared" si="1"/>
        <v>2100</v>
      </c>
    </row>
    <row r="4" ht="22.5" customHeight="1">
      <c r="A4" s="9" t="s">
        <v>36</v>
      </c>
      <c r="B4" s="9" t="s">
        <v>37</v>
      </c>
      <c r="C4" s="9">
        <v>51.0</v>
      </c>
      <c r="D4" s="10">
        <v>935.0</v>
      </c>
      <c r="E4" s="11">
        <f t="shared" si="1"/>
        <v>47685</v>
      </c>
    </row>
    <row r="5" ht="22.5" customHeight="1">
      <c r="A5" s="9" t="s">
        <v>38</v>
      </c>
      <c r="B5" s="9" t="s">
        <v>39</v>
      </c>
      <c r="C5" s="9">
        <v>6.0</v>
      </c>
      <c r="D5" s="10">
        <v>985.85</v>
      </c>
      <c r="E5" s="11">
        <f t="shared" si="1"/>
        <v>5915.1</v>
      </c>
    </row>
    <row r="6" ht="22.5" customHeight="1">
      <c r="A6" s="9" t="s">
        <v>40</v>
      </c>
      <c r="B6" s="9" t="s">
        <v>41</v>
      </c>
      <c r="C6" s="9">
        <v>1.0</v>
      </c>
      <c r="D6" s="10">
        <v>41300.0</v>
      </c>
      <c r="E6" s="11">
        <f t="shared" si="1"/>
        <v>41300</v>
      </c>
    </row>
    <row r="7" ht="22.5" customHeight="1">
      <c r="A7" s="9" t="s">
        <v>42</v>
      </c>
      <c r="B7" s="9" t="s">
        <v>43</v>
      </c>
      <c r="C7" s="9">
        <v>116.0</v>
      </c>
      <c r="D7" s="10">
        <v>14.0</v>
      </c>
      <c r="E7" s="11">
        <f t="shared" si="1"/>
        <v>1624</v>
      </c>
    </row>
    <row r="8" ht="22.5" customHeight="1">
      <c r="A8" s="9" t="s">
        <v>44</v>
      </c>
      <c r="B8" s="9" t="s">
        <v>45</v>
      </c>
      <c r="C8" s="9">
        <v>6.0</v>
      </c>
      <c r="D8" s="10">
        <v>11680.0</v>
      </c>
      <c r="E8" s="11">
        <f t="shared" si="1"/>
        <v>70080</v>
      </c>
    </row>
    <row r="9" ht="22.5" customHeight="1">
      <c r="A9" s="9" t="s">
        <v>46</v>
      </c>
      <c r="B9" s="9" t="s">
        <v>47</v>
      </c>
      <c r="C9" s="9">
        <v>1.0</v>
      </c>
      <c r="D9" s="10">
        <v>1800.0</v>
      </c>
      <c r="E9" s="11">
        <f t="shared" si="1"/>
        <v>1800</v>
      </c>
    </row>
    <row r="10" ht="22.5" customHeight="1">
      <c r="A10" s="9" t="s">
        <v>48</v>
      </c>
      <c r="B10" s="9" t="s">
        <v>49</v>
      </c>
      <c r="C10" s="9">
        <v>48.0</v>
      </c>
      <c r="D10" s="10">
        <v>705.0</v>
      </c>
      <c r="E10" s="11">
        <f t="shared" si="1"/>
        <v>33840</v>
      </c>
    </row>
    <row r="11" ht="22.5" customHeight="1">
      <c r="A11" s="9" t="s">
        <v>50</v>
      </c>
      <c r="B11" s="9" t="s">
        <v>51</v>
      </c>
      <c r="C11" s="9">
        <v>6.0</v>
      </c>
      <c r="D11" s="10">
        <v>31640.0</v>
      </c>
      <c r="E11" s="11">
        <f t="shared" si="1"/>
        <v>189840</v>
      </c>
    </row>
    <row r="12" ht="22.5" customHeight="1">
      <c r="A12" s="9" t="s">
        <v>52</v>
      </c>
      <c r="B12" s="9" t="s">
        <v>53</v>
      </c>
      <c r="C12" s="9">
        <v>5.0</v>
      </c>
      <c r="D12" s="10">
        <v>2597.79</v>
      </c>
      <c r="E12" s="11">
        <f t="shared" si="1"/>
        <v>12988.95</v>
      </c>
    </row>
    <row r="13" ht="22.5" customHeight="1">
      <c r="A13" s="9" t="s">
        <v>54</v>
      </c>
      <c r="B13" s="9" t="s">
        <v>55</v>
      </c>
      <c r="C13" s="9">
        <v>51.0</v>
      </c>
      <c r="D13" s="10">
        <v>219.32</v>
      </c>
      <c r="E13" s="11">
        <f t="shared" si="1"/>
        <v>11185.32</v>
      </c>
    </row>
    <row r="14" ht="22.5" customHeight="1">
      <c r="A14" s="9" t="s">
        <v>56</v>
      </c>
      <c r="B14" s="9" t="s">
        <v>57</v>
      </c>
      <c r="C14" s="9">
        <v>51.0</v>
      </c>
      <c r="D14" s="10">
        <v>798.0</v>
      </c>
      <c r="E14" s="11">
        <f t="shared" si="1"/>
        <v>40698</v>
      </c>
    </row>
    <row r="15" ht="22.5" customHeight="1">
      <c r="A15" s="9" t="s">
        <v>58</v>
      </c>
      <c r="B15" s="9" t="s">
        <v>59</v>
      </c>
      <c r="C15" s="9">
        <v>2.0</v>
      </c>
      <c r="D15" s="10">
        <v>2786.0</v>
      </c>
      <c r="E15" s="11">
        <f t="shared" si="1"/>
        <v>5572</v>
      </c>
    </row>
    <row r="16" ht="22.5" customHeight="1">
      <c r="A16" s="9" t="s">
        <v>60</v>
      </c>
      <c r="B16" s="9" t="s">
        <v>61</v>
      </c>
      <c r="C16" s="9">
        <v>51.0</v>
      </c>
      <c r="D16" s="10">
        <v>13.97</v>
      </c>
      <c r="E16" s="11">
        <f t="shared" si="1"/>
        <v>712.47</v>
      </c>
    </row>
    <row r="17" ht="22.5" customHeight="1">
      <c r="A17" s="9" t="s">
        <v>62</v>
      </c>
      <c r="B17" s="9" t="s">
        <v>63</v>
      </c>
      <c r="C17" s="9">
        <v>1.0</v>
      </c>
      <c r="D17" s="10">
        <v>1600.0</v>
      </c>
      <c r="E17" s="11">
        <f t="shared" si="1"/>
        <v>1600</v>
      </c>
    </row>
    <row r="18" ht="22.5" customHeight="1">
      <c r="A18" s="9" t="s">
        <v>64</v>
      </c>
      <c r="B18" s="9" t="s">
        <v>65</v>
      </c>
      <c r="C18" s="9">
        <v>6.0</v>
      </c>
      <c r="D18" s="10">
        <v>258.99</v>
      </c>
      <c r="E18" s="11">
        <f t="shared" si="1"/>
        <v>1553.94</v>
      </c>
    </row>
    <row r="19" ht="22.5" customHeight="1">
      <c r="A19" s="9" t="s">
        <v>66</v>
      </c>
      <c r="B19" s="9" t="s">
        <v>67</v>
      </c>
      <c r="C19" s="9">
        <v>3.0</v>
      </c>
      <c r="D19" s="10">
        <v>25754.83</v>
      </c>
      <c r="E19" s="11">
        <f t="shared" si="1"/>
        <v>77264.49</v>
      </c>
    </row>
    <row r="20" ht="22.5" customHeight="1">
      <c r="A20" s="9" t="s">
        <v>68</v>
      </c>
      <c r="B20" s="9" t="s">
        <v>69</v>
      </c>
      <c r="C20" s="9">
        <v>9.0</v>
      </c>
      <c r="D20" s="10">
        <v>1290.0</v>
      </c>
      <c r="E20" s="11">
        <f t="shared" si="1"/>
        <v>11610</v>
      </c>
    </row>
    <row r="21" ht="22.5" customHeight="1">
      <c r="A21" s="9" t="s">
        <v>70</v>
      </c>
      <c r="B21" s="9" t="s">
        <v>71</v>
      </c>
      <c r="C21" s="9">
        <v>42.0</v>
      </c>
      <c r="D21" s="10">
        <v>6400.0</v>
      </c>
      <c r="E21" s="11">
        <f t="shared" si="1"/>
        <v>268800</v>
      </c>
    </row>
    <row r="22" ht="22.5" customHeight="1">
      <c r="A22" s="9" t="s">
        <v>72</v>
      </c>
      <c r="B22" s="9" t="s">
        <v>73</v>
      </c>
      <c r="C22" s="9">
        <v>5.0</v>
      </c>
      <c r="D22" s="10">
        <v>5930.0</v>
      </c>
      <c r="E22" s="11">
        <f t="shared" si="1"/>
        <v>29650</v>
      </c>
    </row>
  </sheetData>
  <dataValidations>
    <dataValidation type="custom" allowBlank="1" showDropDown="1" sqref="D2:D2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